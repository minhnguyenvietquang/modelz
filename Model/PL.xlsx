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nhv\OneDrive\Documents\GitHub\models\modelz\Model\"/>
    </mc:Choice>
  </mc:AlternateContent>
  <xr:revisionPtr revIDLastSave="0" documentId="13_ncr:1_{96A49EFC-FD5E-4443-A283-14ADE7A53017}" xr6:coauthVersionLast="47" xr6:coauthVersionMax="47" xr10:uidLastSave="{00000000-0000-0000-0000-000000000000}"/>
  <bookViews>
    <workbookView xWindow="28800" yWindow="0" windowWidth="28800" windowHeight="15600" activeTab="1" xr2:uid="{00000000-000D-0000-FFFF-FFFF00000000}"/>
  </bookViews>
  <sheets>
    <sheet name="Assumptions" sheetId="1" r:id="rId1"/>
    <sheet name="DCF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L21" i="2"/>
  <c r="L12" i="2"/>
  <c r="K12" i="2"/>
  <c r="K15" i="2" s="1"/>
  <c r="J12" i="2"/>
  <c r="I12" i="2"/>
  <c r="H12" i="2"/>
  <c r="G12" i="2"/>
  <c r="J9" i="2"/>
  <c r="I9" i="2"/>
  <c r="G9" i="2"/>
  <c r="K9" i="2"/>
  <c r="K37" i="1" a="1"/>
  <c r="K37" i="1" s="1"/>
  <c r="K43" i="1" a="1"/>
  <c r="K43" i="1" s="1"/>
  <c r="K62" i="1" a="1"/>
  <c r="K62" i="1" s="1"/>
  <c r="K61" i="1" a="1"/>
  <c r="K61" i="1" s="1"/>
  <c r="K60" i="1" a="1"/>
  <c r="K60" i="1" s="1"/>
  <c r="K59" i="1" a="1"/>
  <c r="K59" i="1" s="1"/>
  <c r="K58" i="1" a="1"/>
  <c r="K58" i="1" s="1"/>
  <c r="K57" i="1" a="1"/>
  <c r="K57" i="1" s="1"/>
  <c r="K56" i="1" a="1"/>
  <c r="K56" i="1" s="1"/>
  <c r="K55" i="1" a="1"/>
  <c r="K55" i="1" s="1"/>
  <c r="K54" i="1" a="1"/>
  <c r="K54" i="1" s="1"/>
  <c r="K53" i="1" a="1"/>
  <c r="K53" i="1" s="1"/>
  <c r="K52" i="1" a="1"/>
  <c r="K52" i="1" s="1"/>
  <c r="K51" i="1" a="1"/>
  <c r="K51" i="1" s="1"/>
  <c r="K50" i="1" a="1"/>
  <c r="K50" i="1" s="1"/>
  <c r="K49" i="1" a="1"/>
  <c r="K49" i="1" s="1"/>
  <c r="K48" i="1" a="1"/>
  <c r="K48" i="1" s="1"/>
  <c r="K47" i="1" a="1"/>
  <c r="K47" i="1" s="1"/>
  <c r="K46" i="1" a="1"/>
  <c r="K46" i="1" s="1"/>
  <c r="K45" i="1" a="1"/>
  <c r="K45" i="1" s="1"/>
  <c r="K44" i="1" a="1"/>
  <c r="K44" i="1" s="1"/>
  <c r="K42" i="1" a="1"/>
  <c r="K42" i="1" s="1"/>
  <c r="K41" i="1" a="1"/>
  <c r="K41" i="1" s="1"/>
  <c r="K40" i="1" a="1"/>
  <c r="K40" i="1" s="1"/>
  <c r="K39" i="1" a="1"/>
  <c r="K39" i="1" s="1"/>
  <c r="K38" i="1" a="1"/>
  <c r="K38" i="1" s="1"/>
  <c r="K36" i="1" a="1"/>
  <c r="K36" i="1" s="1"/>
  <c r="K7" i="1" a="1"/>
  <c r="K7" i="1" s="1"/>
  <c r="D36" i="1"/>
  <c r="D33" i="1" s="1"/>
  <c r="D51" i="1"/>
  <c r="D55" i="1"/>
  <c r="D3" i="1"/>
  <c r="F3" i="1"/>
  <c r="K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D56" i="1" l="1"/>
  <c r="D62" i="1" s="1"/>
  <c r="L16" i="2" l="1"/>
  <c r="L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Minh Nguyen Viet Quang</author>
  </authors>
  <commentList>
    <comment ref="D24" authorId="0" shapeId="0" xr:uid="{B8DF0D60-ED6B-4F83-8D51-57D82ED49C42}">
      <text>
        <r>
          <rPr>
            <b/>
            <sz val="9"/>
            <color indexed="81"/>
            <rFont val="Tahoma"/>
            <family val="2"/>
          </rPr>
          <t>Minh Nguyen Viet Quang:</t>
        </r>
        <r>
          <rPr>
            <sz val="9"/>
            <color indexed="81"/>
            <rFont val="Tahoma"/>
            <family val="2"/>
          </rPr>
          <t xml:space="preserve">
2000 images for every point on Earth's landmass.
Sells through fixed price subscription/usage-based contracts.</t>
        </r>
      </text>
    </comment>
    <comment ref="D25" authorId="0" shapeId="0" xr:uid="{8E703E69-2F3B-455F-9865-D7BD6206FE4B}">
      <text>
        <r>
          <rPr>
            <sz val="9"/>
            <color indexed="81"/>
            <rFont val="Tahoma"/>
            <family val="2"/>
          </rPr>
          <t>customers are only counted once. Regardless of how many services they register over time.</t>
        </r>
      </text>
    </comment>
    <comment ref="D26" authorId="0" shapeId="0" xr:uid="{63179CB5-82F3-4FBB-A262-505F5DA71628}">
      <text>
        <r>
          <rPr>
            <sz val="9"/>
            <color indexed="81"/>
            <rFont val="Tahoma"/>
            <family val="2"/>
          </rPr>
          <t>250 partners across 72 countries. OEM partners, GIS platforms building last-mile vertical solutions using sattellite imagery and geospatial data.</t>
        </r>
      </text>
    </comment>
    <comment ref="D30" authorId="0" shapeId="0" xr:uid="{EA05724F-CD5C-4D80-A9C7-0333D1734687}">
      <text>
        <r>
          <rPr>
            <sz val="9"/>
            <color indexed="81"/>
            <rFont val="Tahoma"/>
            <family val="2"/>
          </rPr>
          <t>customers that reconvert into active users within 24 month period.</t>
        </r>
      </text>
    </comment>
    <comment ref="D33" authorId="0" shapeId="0" xr:uid="{6DBC38F2-1323-46C0-BEC4-F78FE805B8FF}">
      <text>
        <r>
          <rPr>
            <sz val="9"/>
            <color indexed="81"/>
            <rFont val="Tahoma"/>
            <family val="2"/>
          </rPr>
          <t xml:space="preserve">they don't annualize short-term contracts in calculating the EoP ACV book of business.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<sst xmlns="http://schemas.openxmlformats.org/spreadsheetml/2006/main" count="156" uniqueCount="123">
  <si>
    <t>x</t>
  </si>
  <si>
    <t>By Geography:</t>
  </si>
  <si>
    <t>North America</t>
  </si>
  <si>
    <t>Asian Pacific &amp; Japan</t>
  </si>
  <si>
    <t>EMEA</t>
  </si>
  <si>
    <t>LATAM</t>
  </si>
  <si>
    <t>Total Revenue</t>
  </si>
  <si>
    <t>By Sector:</t>
  </si>
  <si>
    <t>Commercial</t>
  </si>
  <si>
    <t>Civil Government</t>
  </si>
  <si>
    <t>Defense &amp; Intelligence</t>
  </si>
  <si>
    <t>Customers</t>
  </si>
  <si>
    <t>Satellites</t>
  </si>
  <si>
    <t>Assumptions:</t>
  </si>
  <si>
    <t>Q1</t>
  </si>
  <si>
    <t>Q2</t>
  </si>
  <si>
    <t>Q3</t>
  </si>
  <si>
    <t>Q4</t>
  </si>
  <si>
    <t>Note:</t>
  </si>
  <si>
    <t>Distribution network</t>
  </si>
  <si>
    <t>partners with carbon mapper, nasa jet propulsion laboratory</t>
  </si>
  <si>
    <t>x +44 SuperDoves in 2022</t>
  </si>
  <si>
    <t>collects almost 30 terabytes of earth imaging a day that’s like 300/500sqkm of the earth surface</t>
  </si>
  <si>
    <t>SuperDove</t>
  </si>
  <si>
    <t>SkySat can take 50cm resolution</t>
  </si>
  <si>
    <t>data goes all the way back to 2009 and daily since scans since 2017</t>
  </si>
  <si>
    <t>Check management team success history</t>
  </si>
  <si>
    <t>Acquisitions</t>
  </si>
  <si>
    <t>BlackBridge</t>
  </si>
  <si>
    <t>Terra Bella</t>
  </si>
  <si>
    <t>Boundless Spatial</t>
  </si>
  <si>
    <t>800 employees 700 are full time</t>
  </si>
  <si>
    <t>works across 22 countries</t>
  </si>
  <si>
    <t>how far into the future does their patents cover</t>
  </si>
  <si>
    <t>US gives free through Landsat and MODIS</t>
  </si>
  <si>
    <t>EU gives free through Copernicus and Sentinel program</t>
  </si>
  <si>
    <t>Revenue</t>
  </si>
  <si>
    <t>Gross Profit</t>
  </si>
  <si>
    <t>Profit (loss) from Operations</t>
  </si>
  <si>
    <t>COGS</t>
  </si>
  <si>
    <t>R&amp;D</t>
  </si>
  <si>
    <t>Sales &amp; Marketing</t>
  </si>
  <si>
    <t>Total OpEx</t>
  </si>
  <si>
    <t>Interest expense</t>
  </si>
  <si>
    <t>Change in FV of convertibles and warrants</t>
  </si>
  <si>
    <t>Other income (expense)</t>
  </si>
  <si>
    <t>Taxes</t>
  </si>
  <si>
    <t>Net profit (loss)</t>
  </si>
  <si>
    <t>Administrative</t>
  </si>
  <si>
    <t>Debt extinguishment gain (loss)</t>
  </si>
  <si>
    <t>takes up to 6 months to make a satellite</t>
  </si>
  <si>
    <t xml:space="preserve">and more to deploy </t>
  </si>
  <si>
    <t>A dozen ground station is managed by third parties</t>
  </si>
  <si>
    <t>4 customers make up of 23%, 14% and 12% and 10% of accounts</t>
  </si>
  <si>
    <t>they have warrants that they can redeem at ex price of $18</t>
  </si>
  <si>
    <t>given:</t>
  </si>
  <si>
    <t>prior to their expiration and at anytime before that</t>
  </si>
  <si>
    <t>stock price stays above 18 for 20/30 days</t>
  </si>
  <si>
    <t>at a price of 0.01 per warrant</t>
  </si>
  <si>
    <t>they can also redeem some warrants at a price of 0.10</t>
  </si>
  <si>
    <t>prior to expiration</t>
  </si>
  <si>
    <t>30 days notice of redemption</t>
  </si>
  <si>
    <t>the sahre price remains at $10 for 20/30 days</t>
  </si>
  <si>
    <t>0.361 of class a stock per warrant subject to adjustment</t>
  </si>
  <si>
    <t>building are leased into 2023</t>
  </si>
  <si>
    <t>Net Dollar Retention Rate</t>
  </si>
  <si>
    <t>including Winbacks</t>
  </si>
  <si>
    <t>Customer count</t>
  </si>
  <si>
    <t>Gen 3 SkySat (50sqcm)</t>
  </si>
  <si>
    <t>Gen 2 PlanetScope (3.7sqm)</t>
  </si>
  <si>
    <t>Gen 1 RapidEye (5sqm)</t>
  </si>
  <si>
    <t>Annual Contract Value</t>
  </si>
  <si>
    <t>% Recurring</t>
  </si>
  <si>
    <t>CapEx as % of Revenue</t>
  </si>
  <si>
    <t>(numbers all in thousands unless stated otherwise, $US, all figures EoP except a few in CF statement)</t>
  </si>
  <si>
    <t>Comparables</t>
  </si>
  <si>
    <t>Public</t>
  </si>
  <si>
    <t>Private</t>
  </si>
  <si>
    <t>Patent Expiry:</t>
  </si>
  <si>
    <t>&gt; 25 Years:</t>
  </si>
  <si>
    <t>Whole Earth Imaging</t>
  </si>
  <si>
    <t>ICEYE</t>
  </si>
  <si>
    <t>Capella Space</t>
  </si>
  <si>
    <t>Spire Global</t>
  </si>
  <si>
    <t>Airbus Defence</t>
  </si>
  <si>
    <t>BlackSky</t>
  </si>
  <si>
    <t>Vantor</t>
  </si>
  <si>
    <t>Ticker</t>
  </si>
  <si>
    <t>Current Price</t>
  </si>
  <si>
    <t>Price Ratio</t>
  </si>
  <si>
    <t>P/E</t>
  </si>
  <si>
    <t>P/B</t>
  </si>
  <si>
    <t>Capital Structure</t>
  </si>
  <si>
    <t>% Debt</t>
  </si>
  <si>
    <t>% LT Debt</t>
  </si>
  <si>
    <t>% ST Debt</t>
  </si>
  <si>
    <t>Liquidity Ratio</t>
  </si>
  <si>
    <r>
      <t>Cash / CAOPEX</t>
    </r>
    <r>
      <rPr>
        <vertAlign val="superscript"/>
        <sz val="10"/>
        <color theme="1"/>
        <rFont val="Arial"/>
        <family val="2"/>
      </rPr>
      <t>1</t>
    </r>
  </si>
  <si>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Capital Expediture + Operating Expense</t>
    </r>
  </si>
  <si>
    <t>Cash / Interest Expense</t>
  </si>
  <si>
    <t>Free Cash Flow</t>
  </si>
  <si>
    <t>TTM FCFF Yield %</t>
  </si>
  <si>
    <t>YOY Growth (%)</t>
  </si>
  <si>
    <t>FCFF</t>
  </si>
  <si>
    <t>Operating Expense</t>
  </si>
  <si>
    <t>&lt; does PL have a patent for this?</t>
  </si>
  <si>
    <t>Satellogic</t>
  </si>
  <si>
    <t>ImageSat</t>
  </si>
  <si>
    <r>
      <t xml:space="preserve">CG Satellite </t>
    </r>
    <r>
      <rPr>
        <sz val="10"/>
        <color rgb="FFC00000"/>
        <rFont val="Arial"/>
        <family val="2"/>
      </rPr>
      <t>(I believe this is CN ChangGuang)</t>
    </r>
  </si>
  <si>
    <t>FY 2023</t>
  </si>
  <si>
    <t>FY 24</t>
  </si>
  <si>
    <t>FY 25</t>
  </si>
  <si>
    <t>FY 26</t>
  </si>
  <si>
    <t>FY27</t>
  </si>
  <si>
    <t>FY28</t>
  </si>
  <si>
    <t>Net Loss</t>
  </si>
  <si>
    <t>- CAPEX</t>
  </si>
  <si>
    <t>- Change in NWC</t>
  </si>
  <si>
    <t>+ D&amp;A</t>
  </si>
  <si>
    <t>Enterprise Value</t>
  </si>
  <si>
    <t>Market Capitalization</t>
  </si>
  <si>
    <t>Net Cash</t>
  </si>
  <si>
    <t>Total Liabilitty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</si>
</sst>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&quot;FY&quot;General"/>
  </numFmts>
  <fonts count="2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iral"/>
    </font>
    <font>
      <b/>
      <sz val="10"/>
      <color theme="1"/>
      <name val="Air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 val="singleAccounting"/>
      <sz val="10"/>
      <color theme="1"/>
      <name val="Airal"/>
    </font>
    <font>
      <b/>
      <u val="singleAccounting"/>
      <sz val="10"/>
      <color theme="1"/>
      <name val="Airal"/>
    </font>
    <font>
      <u/>
      <sz val="10"/>
      <color theme="1"/>
      <name val="Airal"/>
    </font>
    <font>
      <sz val="10"/>
      <color rgb="FF0000FF"/>
      <name val="Airal"/>
    </font>
    <font>
      <i/>
      <sz val="10"/>
      <color theme="1"/>
      <name val="Airal"/>
    </font>
    <font>
      <sz val="10"/>
      <color rgb="FFC00000"/>
      <name val="Airal"/>
    </font>
    <font>
      <b/>
      <sz val="10"/>
      <color rgb="FFC00000"/>
      <name val="Airal"/>
    </font>
    <font>
      <u/>
      <sz val="10"/>
      <color rgb="FFC00000"/>
      <name val="Airal"/>
    </font>
    <font>
      <u val="singleAccounting"/>
      <sz val="10"/>
      <color rgb="FFC00000"/>
      <name val="Airal"/>
    </font>
    <font>
      <b/>
      <u val="singleAccounting"/>
      <sz val="10"/>
      <color rgb="FFC00000"/>
      <name val="Airal"/>
    </font>
    <font>
      <b/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C00000"/>
      <name val="Arial"/>
      <family val="2"/>
    </font>
    <font>
      <b/>
      <u val="singleAccounting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2" fillId="0" borderId="0" xfId="1" applyNumberFormat="1" applyFont="1"/>
    <xf numFmtId="164" fontId="3" fillId="0" borderId="0" xfId="1" applyNumberFormat="1" applyFont="1"/>
    <xf numFmtId="164" fontId="7" fillId="0" borderId="0" xfId="1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9" fillId="0" borderId="0" xfId="1" applyNumberFormat="1" applyFont="1"/>
    <xf numFmtId="0" fontId="2" fillId="0" borderId="0" xfId="0" applyFont="1" applyAlignment="1">
      <alignment horizontal="left"/>
    </xf>
    <xf numFmtId="9" fontId="2" fillId="0" borderId="0" xfId="0" applyNumberFormat="1" applyFont="1"/>
    <xf numFmtId="164" fontId="3" fillId="0" borderId="0" xfId="0" applyNumberFormat="1" applyFont="1"/>
    <xf numFmtId="0" fontId="2" fillId="2" borderId="0" xfId="0" applyFont="1" applyFill="1"/>
    <xf numFmtId="0" fontId="3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5" xfId="0" applyFont="1" applyFill="1" applyBorder="1" applyAlignment="1">
      <alignment horizontal="left" indent="1"/>
    </xf>
    <xf numFmtId="0" fontId="2" fillId="2" borderId="7" xfId="0" applyFont="1" applyFill="1" applyBorder="1" applyAlignment="1">
      <alignment horizontal="left" indent="1"/>
    </xf>
    <xf numFmtId="0" fontId="2" fillId="2" borderId="8" xfId="0" applyFont="1" applyFill="1" applyBorder="1"/>
    <xf numFmtId="0" fontId="2" fillId="2" borderId="9" xfId="0" applyFont="1" applyFill="1" applyBorder="1"/>
    <xf numFmtId="0" fontId="10" fillId="2" borderId="0" xfId="0" applyFont="1" applyFill="1"/>
    <xf numFmtId="0" fontId="10" fillId="2" borderId="8" xfId="0" applyFont="1" applyFill="1" applyBorder="1"/>
    <xf numFmtId="0" fontId="2" fillId="2" borderId="0" xfId="0" applyFont="1" applyFill="1" applyAlignment="1">
      <alignment horizontal="left" inden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3" fillId="2" borderId="3" xfId="0" applyFont="1" applyFill="1" applyBorder="1"/>
    <xf numFmtId="0" fontId="2" fillId="2" borderId="8" xfId="0" applyFont="1" applyFill="1" applyBorder="1" applyAlignment="1">
      <alignment horizontal="left" indent="1"/>
    </xf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7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" xfId="0" applyFont="1" applyBorder="1"/>
    <xf numFmtId="0" fontId="1" fillId="0" borderId="16" xfId="0" applyFont="1" applyBorder="1"/>
    <xf numFmtId="0" fontId="18" fillId="0" borderId="0" xfId="0" applyFont="1" applyAlignment="1">
      <alignment horizontal="center" vertical="center"/>
    </xf>
    <xf numFmtId="165" fontId="21" fillId="0" borderId="0" xfId="0" applyNumberFormat="1" applyFont="1" applyAlignment="1">
      <alignment horizontal="center"/>
    </xf>
    <xf numFmtId="43" fontId="1" fillId="0" borderId="0" xfId="1" applyFont="1"/>
    <xf numFmtId="0" fontId="1" fillId="0" borderId="0" xfId="0" quotePrefix="1" applyFont="1"/>
    <xf numFmtId="43" fontId="1" fillId="0" borderId="0" xfId="0" applyNumberFormat="1" applyFont="1"/>
    <xf numFmtId="10" fontId="1" fillId="0" borderId="0" xfId="1" applyNumberFormat="1" applyFont="1"/>
    <xf numFmtId="10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"/>
  <sheetViews>
    <sheetView showGridLines="0" zoomScale="115" zoomScaleNormal="115" workbookViewId="0">
      <selection activeCell="B17" sqref="B17"/>
    </sheetView>
  </sheetViews>
  <sheetFormatPr defaultRowHeight="12.75" outlineLevelCol="1"/>
  <cols>
    <col min="1" max="1" width="1.7109375" style="32" customWidth="1"/>
    <col min="2" max="2" width="24.5703125" style="2" bestFit="1" customWidth="1"/>
    <col min="3" max="3" width="11.85546875" style="2" customWidth="1"/>
    <col min="4" max="4" width="11.85546875" style="2" bestFit="1" customWidth="1"/>
    <col min="5" max="5" width="9.140625" style="2"/>
    <col min="6" max="9" width="9.140625" style="2" customWidth="1" outlineLevel="1"/>
    <col min="10" max="10" width="9.140625" style="2"/>
    <col min="11" max="14" width="9.140625" style="2" customWidth="1" outlineLevel="1"/>
    <col min="15" max="16384" width="9.140625" style="2"/>
  </cols>
  <sheetData>
    <row r="1" spans="1:26">
      <c r="B1" s="31" t="s">
        <v>74</v>
      </c>
      <c r="C1" s="31"/>
    </row>
    <row r="3" spans="1:26">
      <c r="D3" s="6">
        <f>+E3-1</f>
        <v>2020</v>
      </c>
      <c r="E3" s="6">
        <v>2021</v>
      </c>
      <c r="F3" s="6">
        <f>+E3+1</f>
        <v>2022</v>
      </c>
      <c r="G3" s="7"/>
      <c r="H3" s="6"/>
      <c r="I3" s="6"/>
      <c r="J3" s="6"/>
      <c r="K3" s="6">
        <f>+F3+1</f>
        <v>2023</v>
      </c>
      <c r="L3" s="6"/>
      <c r="M3" s="6"/>
      <c r="N3" s="6"/>
      <c r="O3" s="7"/>
      <c r="P3" s="6">
        <f>+K3+1</f>
        <v>2024</v>
      </c>
      <c r="Q3" s="6">
        <f t="shared" ref="Q3:Z3" si="0">+P3+1</f>
        <v>2025</v>
      </c>
      <c r="R3" s="6">
        <f t="shared" si="0"/>
        <v>2026</v>
      </c>
      <c r="S3" s="6">
        <f t="shared" si="0"/>
        <v>2027</v>
      </c>
      <c r="T3" s="6">
        <f t="shared" si="0"/>
        <v>2028</v>
      </c>
      <c r="U3" s="6">
        <f t="shared" si="0"/>
        <v>2029</v>
      </c>
      <c r="V3" s="6">
        <f t="shared" si="0"/>
        <v>2030</v>
      </c>
      <c r="W3" s="6">
        <f t="shared" si="0"/>
        <v>2031</v>
      </c>
      <c r="X3" s="6">
        <f t="shared" si="0"/>
        <v>2032</v>
      </c>
      <c r="Y3" s="6">
        <f t="shared" si="0"/>
        <v>2033</v>
      </c>
      <c r="Z3" s="6">
        <f t="shared" si="0"/>
        <v>2034</v>
      </c>
    </row>
    <row r="4" spans="1:26">
      <c r="A4" s="32" t="s">
        <v>0</v>
      </c>
      <c r="D4" s="3"/>
      <c r="E4" s="3"/>
      <c r="G4" s="3" t="s">
        <v>14</v>
      </c>
      <c r="H4" s="3" t="s">
        <v>15</v>
      </c>
      <c r="I4" s="3" t="s">
        <v>16</v>
      </c>
      <c r="J4" s="3" t="s">
        <v>17</v>
      </c>
      <c r="L4" s="3" t="s">
        <v>14</v>
      </c>
      <c r="M4" s="3" t="s">
        <v>15</v>
      </c>
      <c r="N4" s="3" t="s">
        <v>16</v>
      </c>
      <c r="O4" s="3" t="s">
        <v>17</v>
      </c>
      <c r="P4" s="3"/>
      <c r="Q4" s="3"/>
      <c r="R4" s="3"/>
      <c r="S4" s="3"/>
    </row>
    <row r="5" spans="1:26">
      <c r="B5" s="19" t="s">
        <v>13</v>
      </c>
      <c r="C5" s="37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/>
    </row>
    <row r="6" spans="1:26">
      <c r="B6" s="22" t="s">
        <v>12</v>
      </c>
      <c r="C6" s="18"/>
      <c r="D6" s="28" t="s">
        <v>21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3"/>
    </row>
    <row r="7" spans="1:26">
      <c r="B7" s="24" t="s">
        <v>70</v>
      </c>
      <c r="C7" s="30"/>
      <c r="D7" s="28">
        <v>200</v>
      </c>
      <c r="E7" s="18"/>
      <c r="F7" s="18"/>
      <c r="G7" s="18"/>
      <c r="H7" s="18"/>
      <c r="I7" s="18"/>
      <c r="J7" s="18">
        <v>2</v>
      </c>
      <c r="K7" s="18" cm="1">
        <f t="array" ref="K7">+_xlfn.IFNA(SUM(G7:J7),blank)</f>
        <v>2</v>
      </c>
      <c r="L7" s="18"/>
      <c r="M7" s="18"/>
      <c r="N7" s="18"/>
      <c r="O7" s="18"/>
      <c r="P7" s="18"/>
      <c r="Q7" s="18"/>
      <c r="R7" s="18"/>
      <c r="S7" s="28">
        <v>1</v>
      </c>
      <c r="T7" s="28" t="s">
        <v>26</v>
      </c>
      <c r="U7" s="18"/>
      <c r="V7" s="18"/>
      <c r="W7" s="18"/>
      <c r="X7" s="18"/>
      <c r="Y7" s="18"/>
      <c r="Z7" s="23"/>
    </row>
    <row r="8" spans="1:26">
      <c r="B8" s="24" t="s">
        <v>69</v>
      </c>
      <c r="C8" s="30"/>
      <c r="D8" s="28">
        <v>21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28"/>
      <c r="T8" s="28"/>
      <c r="U8" s="18"/>
      <c r="V8" s="18"/>
      <c r="W8" s="18"/>
      <c r="X8" s="18"/>
      <c r="Y8" s="18"/>
      <c r="Z8" s="23"/>
    </row>
    <row r="9" spans="1:26">
      <c r="B9" s="25" t="s">
        <v>68</v>
      </c>
      <c r="C9" s="38"/>
      <c r="D9" s="29">
        <v>5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9">
        <v>2</v>
      </c>
      <c r="T9" s="26"/>
      <c r="U9" s="26"/>
      <c r="V9" s="26"/>
      <c r="W9" s="26"/>
      <c r="X9" s="26"/>
      <c r="Y9" s="26"/>
      <c r="Z9" s="27"/>
    </row>
    <row r="11" spans="1:26">
      <c r="B11" s="5" t="s">
        <v>78</v>
      </c>
    </row>
    <row r="12" spans="1:26">
      <c r="B12" s="2" t="s">
        <v>79</v>
      </c>
    </row>
    <row r="13" spans="1:26">
      <c r="B13" s="2" t="s">
        <v>80</v>
      </c>
      <c r="C13" s="32" t="s">
        <v>105</v>
      </c>
    </row>
    <row r="23" spans="1:26">
      <c r="B23" s="4"/>
      <c r="C23" s="4"/>
      <c r="D23" s="2" t="s">
        <v>22</v>
      </c>
    </row>
    <row r="24" spans="1:26">
      <c r="B24" s="2" t="s">
        <v>18</v>
      </c>
      <c r="D24" s="2" t="s">
        <v>0</v>
      </c>
      <c r="E24" s="2" t="s">
        <v>25</v>
      </c>
      <c r="K24" s="1" t="s">
        <v>20</v>
      </c>
      <c r="S24" s="2" t="s">
        <v>27</v>
      </c>
    </row>
    <row r="25" spans="1:26">
      <c r="B25" s="4" t="s">
        <v>11</v>
      </c>
      <c r="C25" s="39">
        <v>442</v>
      </c>
      <c r="D25" s="2">
        <v>618</v>
      </c>
      <c r="E25" s="2">
        <v>770</v>
      </c>
      <c r="S25" s="2" t="s">
        <v>28</v>
      </c>
      <c r="T25" s="2">
        <v>2015</v>
      </c>
    </row>
    <row r="26" spans="1:26">
      <c r="B26" s="4" t="s">
        <v>19</v>
      </c>
      <c r="C26" s="4"/>
      <c r="D26" s="2" t="s">
        <v>0</v>
      </c>
      <c r="E26" s="2" t="s">
        <v>31</v>
      </c>
      <c r="H26" s="2" t="s">
        <v>32</v>
      </c>
      <c r="S26" s="2" t="s">
        <v>29</v>
      </c>
      <c r="T26" s="2">
        <v>2017</v>
      </c>
    </row>
    <row r="27" spans="1:26" s="5" customFormat="1">
      <c r="A27" s="33"/>
      <c r="B27" s="4"/>
      <c r="C27" s="4"/>
      <c r="D27" s="2"/>
      <c r="E27" s="2" t="s">
        <v>33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30</v>
      </c>
      <c r="T27" s="2">
        <v>2019</v>
      </c>
      <c r="U27" s="2"/>
      <c r="V27" s="2"/>
      <c r="W27" s="2"/>
      <c r="X27" s="2"/>
      <c r="Y27" s="2"/>
      <c r="Z27" s="2"/>
    </row>
    <row r="28" spans="1:26">
      <c r="B28" s="4"/>
      <c r="C28" s="4"/>
      <c r="E28" s="2" t="s">
        <v>64</v>
      </c>
    </row>
    <row r="29" spans="1:26">
      <c r="B29" s="15" t="s">
        <v>65</v>
      </c>
      <c r="C29" s="15"/>
      <c r="D29" s="16">
        <v>1.02</v>
      </c>
      <c r="E29" s="16">
        <v>1.1299999999999999</v>
      </c>
      <c r="F29" s="16">
        <v>1.08</v>
      </c>
    </row>
    <row r="30" spans="1:26">
      <c r="B30" s="4" t="s">
        <v>66</v>
      </c>
      <c r="C30" s="4"/>
      <c r="D30" s="16">
        <v>1.03</v>
      </c>
      <c r="E30" s="16">
        <v>1.17</v>
      </c>
      <c r="F30" s="16">
        <v>1.1599999999999999</v>
      </c>
    </row>
    <row r="31" spans="1:26">
      <c r="B31" s="15" t="s">
        <v>67</v>
      </c>
      <c r="C31" s="15"/>
      <c r="D31" s="2">
        <v>442</v>
      </c>
      <c r="E31" s="2">
        <v>618</v>
      </c>
      <c r="F31" s="2">
        <v>770</v>
      </c>
    </row>
    <row r="32" spans="1:26">
      <c r="B32" s="15" t="s">
        <v>72</v>
      </c>
      <c r="C32" s="15"/>
      <c r="D32" s="16">
        <v>0.88</v>
      </c>
      <c r="E32" s="16">
        <v>0.92</v>
      </c>
      <c r="F32" s="16">
        <v>0.92</v>
      </c>
    </row>
    <row r="33" spans="1:26">
      <c r="B33" s="15" t="s">
        <v>71</v>
      </c>
      <c r="C33" s="15"/>
      <c r="D33" s="8">
        <f>+D36/D25</f>
        <v>154.91262135922329</v>
      </c>
      <c r="E33" s="16"/>
      <c r="F33" s="16"/>
    </row>
    <row r="34" spans="1:26">
      <c r="B34" s="2" t="s">
        <v>73</v>
      </c>
      <c r="D34" s="16"/>
      <c r="E34" s="16"/>
      <c r="F34" s="16"/>
    </row>
    <row r="35" spans="1:26">
      <c r="B35" s="4"/>
      <c r="C35" s="4"/>
    </row>
    <row r="36" spans="1:26">
      <c r="B36" s="5" t="s">
        <v>6</v>
      </c>
      <c r="C36" s="5"/>
      <c r="D36" s="17">
        <f>+D49</f>
        <v>95736</v>
      </c>
      <c r="E36" s="5"/>
      <c r="F36" s="5"/>
      <c r="G36" s="5"/>
      <c r="H36" s="5"/>
      <c r="I36" s="5"/>
      <c r="J36" s="5"/>
      <c r="K36" s="5" cm="1">
        <f t="array" ref="K36">+_xlfn.IFNA(SUM(G36:J36),blank)</f>
        <v>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K37" s="2" cm="1">
        <f t="array" ref="K37">+_xlfn.IFNA(SUM(G37:J37),blank)</f>
        <v>0</v>
      </c>
    </row>
    <row r="38" spans="1:26">
      <c r="B38" s="2" t="s">
        <v>1</v>
      </c>
      <c r="K38" s="2" cm="1">
        <f t="array" ref="K38">+_xlfn.IFNA(SUM(G38:J38),blank)</f>
        <v>0</v>
      </c>
    </row>
    <row r="39" spans="1:26">
      <c r="B39" s="4" t="s">
        <v>2</v>
      </c>
      <c r="C39" s="4"/>
      <c r="K39" s="2" cm="1">
        <f t="array" ref="K39">+_xlfn.IFNA(SUM(G39:J39),blank)</f>
        <v>0</v>
      </c>
      <c r="P39" s="2" t="s">
        <v>54</v>
      </c>
    </row>
    <row r="40" spans="1:26">
      <c r="B40" s="4" t="s">
        <v>3</v>
      </c>
      <c r="C40" s="4"/>
      <c r="K40" s="2" cm="1">
        <f t="array" ref="K40">+_xlfn.IFNA(SUM(G40:J40),blank)</f>
        <v>0</v>
      </c>
      <c r="P40" s="2" t="s">
        <v>56</v>
      </c>
    </row>
    <row r="41" spans="1:26" s="13" customFormat="1">
      <c r="A41" s="34"/>
      <c r="B41" s="4" t="s">
        <v>4</v>
      </c>
      <c r="C41" s="4"/>
      <c r="D41" s="2"/>
      <c r="E41" s="2" t="s">
        <v>53</v>
      </c>
      <c r="F41" s="2"/>
      <c r="G41" s="2"/>
      <c r="H41" s="2"/>
      <c r="I41" s="2"/>
      <c r="J41" s="2"/>
      <c r="K41" s="2" cm="1">
        <f t="array" ref="K41">+_xlfn.IFNA(SUM(G41:J41),blank)</f>
        <v>0</v>
      </c>
      <c r="L41" s="2"/>
      <c r="M41" s="2"/>
      <c r="N41" s="2"/>
      <c r="O41" s="2"/>
      <c r="P41" s="2" t="s">
        <v>55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s="5" customFormat="1">
      <c r="A42" s="33"/>
      <c r="B42" s="4" t="s">
        <v>5</v>
      </c>
      <c r="C42" s="4"/>
      <c r="D42" s="2"/>
      <c r="E42" s="2"/>
      <c r="F42" s="2"/>
      <c r="G42" s="2"/>
      <c r="H42" s="2"/>
      <c r="I42" s="2"/>
      <c r="J42" s="2"/>
      <c r="K42" s="2" cm="1">
        <f t="array" ref="K42">+_xlfn.IFNA(SUM(G42:J42),blank)</f>
        <v>0</v>
      </c>
      <c r="L42" s="2"/>
      <c r="M42" s="2"/>
      <c r="N42" s="2"/>
      <c r="O42" s="2"/>
      <c r="P42" s="2" t="s">
        <v>57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H43" s="2" t="s">
        <v>50</v>
      </c>
      <c r="K43" s="2" cm="1">
        <f t="array" ref="K43">+_xlfn.IFNA(SUM(G43:J43),blank)</f>
        <v>0</v>
      </c>
      <c r="P43" s="2" t="s">
        <v>58</v>
      </c>
    </row>
    <row r="44" spans="1:26">
      <c r="B44" s="2" t="s">
        <v>7</v>
      </c>
      <c r="H44" s="2" t="s">
        <v>51</v>
      </c>
      <c r="K44" s="2" cm="1">
        <f t="array" ref="K44">+_xlfn.IFNA(SUM(G44:J44),blank)</f>
        <v>0</v>
      </c>
    </row>
    <row r="45" spans="1:26" s="11" customFormat="1" ht="15">
      <c r="A45" s="35"/>
      <c r="B45" s="4" t="s">
        <v>8</v>
      </c>
      <c r="C45" s="4"/>
      <c r="D45" s="2"/>
      <c r="E45" s="2"/>
      <c r="F45" s="2"/>
      <c r="G45" s="2"/>
      <c r="H45" s="2"/>
      <c r="I45" s="2"/>
      <c r="J45" s="2"/>
      <c r="K45" s="2" cm="1">
        <f t="array" ref="K45">+_xlfn.IFNA(SUM(G45:J45),blank)</f>
        <v>0</v>
      </c>
      <c r="L45" s="2"/>
      <c r="M45" s="2"/>
      <c r="N45" s="2"/>
      <c r="O45" s="2"/>
      <c r="P45" s="2" t="s">
        <v>59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s="12" customFormat="1" ht="15">
      <c r="A46" s="36"/>
      <c r="B46" s="4" t="s">
        <v>9</v>
      </c>
      <c r="C46" s="4"/>
      <c r="D46" s="2"/>
      <c r="E46" s="2" t="s">
        <v>23</v>
      </c>
      <c r="F46" s="2"/>
      <c r="G46" s="2"/>
      <c r="H46" s="2" t="s">
        <v>34</v>
      </c>
      <c r="I46" s="2"/>
      <c r="J46" s="2"/>
      <c r="K46" s="2" cm="1">
        <f t="array" ref="K46">+_xlfn.IFNA(SUM(G46:J46),blank)</f>
        <v>0</v>
      </c>
      <c r="L46" s="2"/>
      <c r="M46" s="2"/>
      <c r="N46" s="2"/>
      <c r="O46" s="2"/>
      <c r="P46" s="2" t="s">
        <v>60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s="5" customFormat="1">
      <c r="A47" s="33"/>
      <c r="B47" s="4" t="s">
        <v>10</v>
      </c>
      <c r="C47" s="4"/>
      <c r="D47" s="2"/>
      <c r="E47" s="2" t="s">
        <v>24</v>
      </c>
      <c r="F47" s="2"/>
      <c r="G47" s="2"/>
      <c r="H47" s="2" t="s">
        <v>35</v>
      </c>
      <c r="I47" s="2"/>
      <c r="J47" s="2"/>
      <c r="K47" s="2" cm="1">
        <f t="array" ref="K47">+_xlfn.IFNA(SUM(G47:J47),blank)</f>
        <v>0</v>
      </c>
      <c r="L47" s="2"/>
      <c r="M47" s="2"/>
      <c r="N47" s="2"/>
      <c r="O47" s="2"/>
      <c r="P47" s="2" t="s">
        <v>55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E48" s="2" t="s">
        <v>52</v>
      </c>
      <c r="K48" s="2" cm="1">
        <f t="array" ref="K48">+_xlfn.IFNA(SUM(G48:J48),blank)</f>
        <v>0</v>
      </c>
      <c r="P48" s="2" t="s">
        <v>61</v>
      </c>
    </row>
    <row r="49" spans="1:26">
      <c r="B49" s="2" t="s">
        <v>36</v>
      </c>
      <c r="D49" s="8">
        <v>95736</v>
      </c>
      <c r="K49" s="2" cm="1">
        <f t="array" ref="K49">+_xlfn.IFNA(SUM(G49:J49),blank)</f>
        <v>0</v>
      </c>
      <c r="P49" s="2" t="s">
        <v>62</v>
      </c>
    </row>
    <row r="50" spans="1:26">
      <c r="B50" s="2" t="s">
        <v>39</v>
      </c>
      <c r="D50" s="14">
        <v>102393</v>
      </c>
      <c r="E50" s="13"/>
      <c r="F50" s="13"/>
      <c r="G50" s="13"/>
      <c r="H50" s="13"/>
      <c r="I50" s="13"/>
      <c r="J50" s="13"/>
      <c r="K50" s="13" cm="1">
        <f t="array" ref="K50">+_xlfn.IFNA(SUM(G50:J50),blank)</f>
        <v>0</v>
      </c>
      <c r="L50" s="13"/>
      <c r="M50" s="13"/>
      <c r="N50" s="13"/>
      <c r="O50" s="13"/>
      <c r="P50" s="2" t="s">
        <v>63</v>
      </c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s="5" customFormat="1">
      <c r="A51" s="33"/>
      <c r="B51" s="5" t="s">
        <v>37</v>
      </c>
      <c r="D51" s="9">
        <f>+D49-D50</f>
        <v>-6657</v>
      </c>
      <c r="K51" s="5" cm="1">
        <f t="array" ref="K51">+_xlfn.IFNA(SUM(G51:J51),blank)</f>
        <v>0</v>
      </c>
    </row>
    <row r="52" spans="1:26" s="11" customFormat="1" ht="15">
      <c r="A52" s="35"/>
      <c r="B52" s="2" t="s">
        <v>40</v>
      </c>
      <c r="C52" s="2"/>
      <c r="D52" s="8">
        <v>37871</v>
      </c>
      <c r="E52" s="2"/>
      <c r="F52" s="2"/>
      <c r="G52" s="2"/>
      <c r="H52" s="2"/>
      <c r="I52" s="2"/>
      <c r="J52" s="2"/>
      <c r="K52" s="2" cm="1">
        <f t="array" ref="K52">+_xlfn.IFNA(SUM(G52:J52),blank)</f>
        <v>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B53" s="2" t="s">
        <v>41</v>
      </c>
      <c r="D53" s="8">
        <v>34913</v>
      </c>
      <c r="K53" s="2" cm="1">
        <f t="array" ref="K53">+_xlfn.IFNA(SUM(G53:J53),blank)</f>
        <v>0</v>
      </c>
    </row>
    <row r="54" spans="1:26" ht="15">
      <c r="B54" s="2" t="s">
        <v>48</v>
      </c>
      <c r="D54" s="10">
        <v>27019</v>
      </c>
      <c r="E54" s="11"/>
      <c r="F54" s="11"/>
      <c r="G54" s="11"/>
      <c r="H54" s="11"/>
      <c r="I54" s="11"/>
      <c r="J54" s="11"/>
      <c r="K54" s="5" cm="1">
        <f t="array" ref="K54">+_xlfn.IFNA(SUM(G54:J54),blank)</f>
        <v>0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">
      <c r="B55" s="2" t="s">
        <v>42</v>
      </c>
      <c r="D55" s="10">
        <f>+SUM(D52:D54)</f>
        <v>99803</v>
      </c>
      <c r="E55" s="12"/>
      <c r="F55" s="12"/>
      <c r="G55" s="12"/>
      <c r="H55" s="12"/>
      <c r="I55" s="12"/>
      <c r="J55" s="12"/>
      <c r="K55" s="12" cm="1">
        <f t="array" ref="K55">+_xlfn.IFNA(SUM(G55:J55),blank)</f>
        <v>0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B56" s="5" t="s">
        <v>38</v>
      </c>
      <c r="C56" s="5"/>
      <c r="D56" s="9">
        <f>+D51-D55</f>
        <v>-106460</v>
      </c>
      <c r="E56" s="5"/>
      <c r="F56" s="5"/>
      <c r="G56" s="5"/>
      <c r="H56" s="5"/>
      <c r="I56" s="5"/>
      <c r="J56" s="5"/>
      <c r="K56" s="5" cm="1">
        <f t="array" ref="K56">+_xlfn.IFNA(SUM(G56:J56),blank)</f>
        <v>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B57" s="2" t="s">
        <v>49</v>
      </c>
      <c r="D57" s="8">
        <v>-11529</v>
      </c>
      <c r="K57" s="2" cm="1">
        <f t="array" ref="K57">+_xlfn.IFNA(SUM(G57:J57),blank)</f>
        <v>0</v>
      </c>
    </row>
    <row r="58" spans="1:26">
      <c r="B58" s="2" t="s">
        <v>43</v>
      </c>
      <c r="D58" s="8">
        <v>-6946</v>
      </c>
      <c r="K58" s="2" cm="1">
        <f t="array" ref="K58">+_xlfn.IFNA(SUM(G58:J58),blank)</f>
        <v>0</v>
      </c>
    </row>
    <row r="59" spans="1:26">
      <c r="B59" s="2" t="s">
        <v>44</v>
      </c>
      <c r="D59" s="8">
        <v>207</v>
      </c>
      <c r="K59" s="2" cm="1">
        <f t="array" ref="K59">+_xlfn.IFNA(SUM(G59:J59),blank)</f>
        <v>0</v>
      </c>
    </row>
    <row r="60" spans="1:26">
      <c r="B60" s="2" t="s">
        <v>45</v>
      </c>
      <c r="D60" s="8">
        <v>1144</v>
      </c>
      <c r="E60" s="5"/>
      <c r="F60" s="5"/>
      <c r="G60" s="5"/>
      <c r="H60" s="5"/>
      <c r="I60" s="5"/>
      <c r="J60" s="5"/>
      <c r="K60" s="5" cm="1">
        <f t="array" ref="K60">+_xlfn.IFNA(SUM(G60:J60),blank)</f>
        <v>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B61" s="2" t="s">
        <v>46</v>
      </c>
      <c r="D61" s="10">
        <v>130</v>
      </c>
      <c r="E61" s="11"/>
      <c r="F61" s="11"/>
      <c r="G61" s="11"/>
      <c r="H61" s="11"/>
      <c r="I61" s="11"/>
      <c r="J61" s="11"/>
      <c r="K61" s="11" cm="1">
        <f t="array" ref="K61">+_xlfn.IFNA(SUM(G61:J61),blank)</f>
        <v>0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B62" s="5" t="s">
        <v>47</v>
      </c>
      <c r="C62" s="5"/>
      <c r="D62" s="9">
        <f>+D56+D57+D58+D59+D60-D61</f>
        <v>-123714</v>
      </c>
      <c r="K62" s="2" cm="1">
        <f t="array" ref="K62">+_xlfn.IFNA(SUM(G62:J62),blank)</f>
        <v>0</v>
      </c>
    </row>
  </sheetData>
  <dataConsolidate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04BF-54C5-4CE9-AAD5-BF9F03B314AD}">
  <dimension ref="A1:Z26"/>
  <sheetViews>
    <sheetView showGridLines="0" tabSelected="1" zoomScale="115" zoomScaleNormal="115" workbookViewId="0">
      <selection activeCell="N26" sqref="N26"/>
    </sheetView>
  </sheetViews>
  <sheetFormatPr defaultRowHeight="12.75"/>
  <cols>
    <col min="1" max="1" width="1.7109375" style="1" customWidth="1"/>
    <col min="2" max="6" width="9.140625" style="1"/>
    <col min="7" max="11" width="10.85546875" style="1" bestFit="1" customWidth="1"/>
    <col min="12" max="12" width="16.5703125" style="1" bestFit="1" customWidth="1"/>
    <col min="13" max="16384" width="9.140625" style="1"/>
  </cols>
  <sheetData>
    <row r="1" spans="1:26">
      <c r="A1" s="40"/>
    </row>
    <row r="2" spans="1:26" ht="15">
      <c r="C2" s="55" t="s">
        <v>109</v>
      </c>
      <c r="D2" s="55"/>
      <c r="E2" s="55"/>
      <c r="F2" s="55"/>
      <c r="G2" s="55" t="s">
        <v>110</v>
      </c>
      <c r="H2" s="55"/>
      <c r="I2" s="55"/>
      <c r="J2" s="55"/>
      <c r="K2" s="55" t="s">
        <v>111</v>
      </c>
      <c r="L2" s="55"/>
      <c r="M2" s="55"/>
      <c r="N2" s="55"/>
      <c r="O2" s="55" t="s">
        <v>112</v>
      </c>
      <c r="P2" s="55"/>
      <c r="Q2" s="55"/>
      <c r="R2" s="55"/>
      <c r="S2" s="55" t="s">
        <v>113</v>
      </c>
      <c r="T2" s="55"/>
      <c r="U2" s="55"/>
      <c r="V2" s="55"/>
      <c r="W2" s="55" t="s">
        <v>114</v>
      </c>
      <c r="X2" s="55"/>
      <c r="Y2" s="55"/>
      <c r="Z2" s="55"/>
    </row>
    <row r="3" spans="1:26" ht="15">
      <c r="C3" s="54" t="s">
        <v>14</v>
      </c>
      <c r="D3" s="54" t="s">
        <v>15</v>
      </c>
      <c r="E3" s="54" t="s">
        <v>16</v>
      </c>
      <c r="F3" s="54" t="s">
        <v>17</v>
      </c>
      <c r="G3" s="54" t="s">
        <v>14</v>
      </c>
      <c r="H3" s="54" t="s">
        <v>15</v>
      </c>
      <c r="I3" s="54" t="s">
        <v>16</v>
      </c>
      <c r="J3" s="54" t="s">
        <v>17</v>
      </c>
      <c r="K3" s="54" t="s">
        <v>14</v>
      </c>
      <c r="L3" s="54" t="s">
        <v>15</v>
      </c>
      <c r="M3" s="54" t="s">
        <v>16</v>
      </c>
      <c r="N3" s="54" t="s">
        <v>17</v>
      </c>
      <c r="O3" s="54" t="s">
        <v>14</v>
      </c>
      <c r="P3" s="54" t="s">
        <v>15</v>
      </c>
      <c r="Q3" s="54" t="s">
        <v>16</v>
      </c>
      <c r="R3" s="54" t="s">
        <v>17</v>
      </c>
      <c r="S3" s="54" t="s">
        <v>14</v>
      </c>
      <c r="T3" s="54" t="s">
        <v>15</v>
      </c>
      <c r="U3" s="54" t="s">
        <v>16</v>
      </c>
      <c r="V3" s="54" t="s">
        <v>17</v>
      </c>
      <c r="W3" s="54" t="s">
        <v>14</v>
      </c>
      <c r="X3" s="54" t="s">
        <v>15</v>
      </c>
      <c r="Y3" s="54" t="s">
        <v>16</v>
      </c>
      <c r="Z3" s="54" t="s">
        <v>17</v>
      </c>
    </row>
    <row r="4" spans="1:26">
      <c r="B4" s="1" t="s">
        <v>36</v>
      </c>
    </row>
    <row r="8" spans="1:26">
      <c r="B8" s="1" t="s">
        <v>115</v>
      </c>
      <c r="C8" s="56"/>
      <c r="D8" s="56"/>
      <c r="E8" s="56"/>
      <c r="F8" s="56"/>
      <c r="G8" s="56">
        <v>-29293</v>
      </c>
      <c r="H8" s="56">
        <v>-38668</v>
      </c>
      <c r="I8" s="56">
        <v>-20081</v>
      </c>
      <c r="J8" s="56">
        <v>-35154</v>
      </c>
      <c r="K8" s="56">
        <v>-12628</v>
      </c>
      <c r="L8" s="56">
        <v>-22592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>
      <c r="B9" s="57" t="s">
        <v>118</v>
      </c>
      <c r="C9" s="56"/>
      <c r="D9" s="56"/>
      <c r="E9" s="56"/>
      <c r="F9" s="56"/>
      <c r="G9" s="56">
        <f>+H9</f>
        <v>13124</v>
      </c>
      <c r="H9" s="56">
        <v>13124</v>
      </c>
      <c r="I9" s="58">
        <f>36365-SUM(G9:H9)</f>
        <v>10117</v>
      </c>
      <c r="J9" s="56">
        <f>45637-SUM(G9:I9)</f>
        <v>9272</v>
      </c>
      <c r="K9" s="56">
        <f>+L9</f>
        <v>10852</v>
      </c>
      <c r="L9" s="56">
        <v>10852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>
      <c r="B10" s="57" t="s">
        <v>116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>
      <c r="B11" s="57" t="s">
        <v>117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>
      <c r="C12" s="56"/>
      <c r="D12" s="56"/>
      <c r="E12" s="56"/>
      <c r="F12" s="56"/>
      <c r="G12" s="56">
        <f>+G8+G9+G10-G11</f>
        <v>-16169</v>
      </c>
      <c r="H12" s="56">
        <f t="shared" ref="H12:L12" si="0">+H8+H9+H10-H11</f>
        <v>-25544</v>
      </c>
      <c r="I12" s="56">
        <f t="shared" si="0"/>
        <v>-9964</v>
      </c>
      <c r="J12" s="56">
        <f t="shared" si="0"/>
        <v>-25882</v>
      </c>
      <c r="K12" s="56">
        <f t="shared" si="0"/>
        <v>-1776</v>
      </c>
      <c r="L12" s="56">
        <f t="shared" si="0"/>
        <v>-11740</v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>
      <c r="C15" s="56"/>
      <c r="D15" s="56"/>
      <c r="E15" s="56"/>
      <c r="F15" s="56"/>
      <c r="G15" s="56"/>
      <c r="H15" s="56"/>
      <c r="I15" s="56"/>
      <c r="J15" s="56"/>
      <c r="K15" s="56">
        <f>+SUM(H12:K12)</f>
        <v>-63166</v>
      </c>
      <c r="L15" s="56">
        <v>1000000</v>
      </c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>
      <c r="C16" s="56"/>
      <c r="D16" s="56"/>
      <c r="E16" s="56"/>
      <c r="F16" s="56"/>
      <c r="G16" s="56"/>
      <c r="H16" s="56"/>
      <c r="I16" s="56"/>
      <c r="J16" s="56"/>
      <c r="K16" s="56"/>
      <c r="L16" s="59">
        <f>+L15/K15-1</f>
        <v>-16.831301649621633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8" spans="2:12">
      <c r="B18" s="1" t="s">
        <v>120</v>
      </c>
      <c r="L18" s="56">
        <v>4900000</v>
      </c>
    </row>
    <row r="19" spans="2:12">
      <c r="B19" s="1" t="s">
        <v>122</v>
      </c>
      <c r="L19" s="56">
        <v>261000</v>
      </c>
    </row>
    <row r="20" spans="2:12">
      <c r="B20" s="1" t="s">
        <v>121</v>
      </c>
      <c r="L20" s="56">
        <v>182000</v>
      </c>
    </row>
    <row r="21" spans="2:12">
      <c r="B21" s="1" t="s">
        <v>119</v>
      </c>
      <c r="L21" s="58">
        <f>+L18+L19-L20</f>
        <v>4979000</v>
      </c>
    </row>
    <row r="24" spans="2:12">
      <c r="L24" s="60">
        <f>+L15/L21</f>
        <v>0.2008435428800964</v>
      </c>
    </row>
    <row r="25" spans="2:12">
      <c r="L25" s="60">
        <v>1.66E-2</v>
      </c>
    </row>
    <row r="26" spans="2:12">
      <c r="L26" s="1">
        <f>+L24/L25</f>
        <v>12.099008607234722</v>
      </c>
    </row>
  </sheetData>
  <mergeCells count="6">
    <mergeCell ref="C2:F2"/>
    <mergeCell ref="G2:J2"/>
    <mergeCell ref="K2:N2"/>
    <mergeCell ref="O2:R2"/>
    <mergeCell ref="S2:V2"/>
    <mergeCell ref="W2:Z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170A-1BF4-498F-84A6-20219A0DC4ED}">
  <dimension ref="B2:R19"/>
  <sheetViews>
    <sheetView showGridLines="0" zoomScale="115" zoomScaleNormal="115" workbookViewId="0">
      <selection activeCell="B16" sqref="B16"/>
    </sheetView>
  </sheetViews>
  <sheetFormatPr defaultRowHeight="12.75"/>
  <cols>
    <col min="1" max="1" width="1.7109375" style="1" customWidth="1"/>
    <col min="2" max="2" width="13.7109375" style="1" bestFit="1" customWidth="1"/>
    <col min="3" max="9" width="10.7109375" style="1" customWidth="1"/>
    <col min="10" max="12" width="20.7109375" style="1" customWidth="1"/>
    <col min="13" max="18" width="17.7109375" style="1" customWidth="1"/>
    <col min="19" max="16384" width="9.140625" style="1"/>
  </cols>
  <sheetData>
    <row r="2" spans="2:18">
      <c r="B2" s="41" t="s">
        <v>75</v>
      </c>
    </row>
    <row r="4" spans="2:18" ht="15">
      <c r="C4" s="43" t="s">
        <v>87</v>
      </c>
      <c r="D4" s="43" t="s">
        <v>88</v>
      </c>
      <c r="E4" s="44" t="s">
        <v>89</v>
      </c>
      <c r="F4" s="44"/>
      <c r="G4" s="44" t="s">
        <v>92</v>
      </c>
      <c r="H4" s="44"/>
      <c r="I4" s="44"/>
      <c r="J4" s="44" t="s">
        <v>96</v>
      </c>
      <c r="K4" s="44"/>
      <c r="L4" s="44"/>
      <c r="M4" s="44" t="s">
        <v>100</v>
      </c>
      <c r="N4" s="44"/>
      <c r="O4" s="44"/>
      <c r="P4" s="44" t="s">
        <v>102</v>
      </c>
      <c r="Q4" s="44"/>
      <c r="R4" s="44"/>
    </row>
    <row r="5" spans="2:18" ht="14.25">
      <c r="C5" s="42"/>
      <c r="D5" s="42"/>
      <c r="E5" s="43" t="s">
        <v>90</v>
      </c>
      <c r="F5" s="43" t="s">
        <v>91</v>
      </c>
      <c r="G5" s="43" t="s">
        <v>93</v>
      </c>
      <c r="H5" s="43" t="s">
        <v>94</v>
      </c>
      <c r="I5" s="43" t="s">
        <v>95</v>
      </c>
      <c r="J5" s="43" t="s">
        <v>97</v>
      </c>
      <c r="K5" s="43" t="s">
        <v>99</v>
      </c>
      <c r="L5" s="42"/>
      <c r="M5" s="43" t="s">
        <v>101</v>
      </c>
      <c r="N5" s="42"/>
      <c r="O5" s="42"/>
      <c r="P5" s="43" t="s">
        <v>36</v>
      </c>
      <c r="Q5" s="43" t="s">
        <v>103</v>
      </c>
      <c r="R5" s="43" t="s">
        <v>104</v>
      </c>
    </row>
    <row r="6" spans="2:18">
      <c r="B6" s="41" t="s">
        <v>76</v>
      </c>
    </row>
    <row r="7" spans="2:18">
      <c r="B7" s="45" t="s">
        <v>83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7"/>
    </row>
    <row r="8" spans="2:18">
      <c r="B8" s="48" t="s">
        <v>84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50"/>
    </row>
    <row r="9" spans="2:18">
      <c r="B9" s="48" t="s">
        <v>106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50"/>
    </row>
    <row r="10" spans="2:18">
      <c r="B10" s="48" t="s">
        <v>107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50"/>
    </row>
    <row r="11" spans="2:18">
      <c r="B11" s="51" t="s">
        <v>85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3"/>
    </row>
    <row r="13" spans="2:18">
      <c r="B13" s="41" t="s">
        <v>77</v>
      </c>
    </row>
    <row r="14" spans="2:18">
      <c r="B14" s="45" t="s">
        <v>81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7"/>
    </row>
    <row r="15" spans="2:18">
      <c r="B15" s="48" t="s">
        <v>82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50"/>
    </row>
    <row r="16" spans="2:18">
      <c r="B16" s="48" t="s">
        <v>108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50"/>
    </row>
    <row r="17" spans="2:18">
      <c r="B17" s="51" t="s">
        <v>86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3"/>
    </row>
    <row r="19" spans="2:18" ht="14.25">
      <c r="B19" s="1" t="s">
        <v>98</v>
      </c>
    </row>
  </sheetData>
  <mergeCells count="5">
    <mergeCell ref="M4:O4"/>
    <mergeCell ref="P4:R4"/>
    <mergeCell ref="E4:F4"/>
    <mergeCell ref="G4:I4"/>
    <mergeCell ref="J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DCF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Viet Quang</dc:creator>
  <cp:lastModifiedBy>Minh Nguyen Viet Quang</cp:lastModifiedBy>
  <dcterms:created xsi:type="dcterms:W3CDTF">2015-06-05T18:17:20Z</dcterms:created>
  <dcterms:modified xsi:type="dcterms:W3CDTF">2025-10-12T21:22:53Z</dcterms:modified>
</cp:coreProperties>
</file>