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inhv\OneDrive\Documents\GitHub\models\modelz\Model\"/>
    </mc:Choice>
  </mc:AlternateContent>
  <xr:revisionPtr revIDLastSave="0" documentId="13_ncr:1_{35509ECA-7877-4EF7-B723-43EDCB25A82E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6" i="1"/>
  <c r="D8" i="1"/>
  <c r="E8" i="1"/>
  <c r="E7" i="1"/>
  <c r="D7" i="1"/>
  <c r="C7" i="1"/>
  <c r="E2" i="1"/>
  <c r="D2" i="1" s="1"/>
  <c r="C2" i="1" s="1"/>
  <c r="G2" i="1"/>
  <c r="H2" i="1" s="1"/>
  <c r="I2" i="1" s="1"/>
  <c r="J2" i="1" s="1"/>
  <c r="K2" i="1" s="1"/>
  <c r="L2" i="1" s="1"/>
  <c r="M2" i="1" s="1"/>
  <c r="E6" i="1" l="1"/>
  <c r="E20" i="1" s="1"/>
  <c r="D6" i="1"/>
  <c r="D20" i="1" s="1"/>
</calcChain>
</file>

<file path=xl/sharedStrings.xml><?xml version="1.0" encoding="utf-8"?>
<sst xmlns="http://schemas.openxmlformats.org/spreadsheetml/2006/main" count="11" uniqueCount="11">
  <si>
    <t>Free Cash Flow</t>
  </si>
  <si>
    <t>Enterprise Value</t>
  </si>
  <si>
    <t>Net Debt</t>
  </si>
  <si>
    <t>Minority Interest</t>
  </si>
  <si>
    <t>Preferred Stock</t>
  </si>
  <si>
    <t>Market Capitalization</t>
  </si>
  <si>
    <t>Shares Outstanding</t>
  </si>
  <si>
    <t>FCFF Yield (%)</t>
  </si>
  <si>
    <t>Share Price (Average, Last)</t>
  </si>
  <si>
    <t>Total Cash (Current Assets)</t>
  </si>
  <si>
    <t>Total Debt (Total Liabilities)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</si>
</sst>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2" fillId="0" borderId="1" xfId="0" applyFont="1" applyBorder="1"/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2" fillId="0" borderId="1" xfId="1" applyFont="1" applyBorder="1"/>
    <xf numFmtId="43" fontId="0" fillId="0" borderId="0" xfId="1" applyFont="1"/>
    <xf numFmtId="43" fontId="2" fillId="0" borderId="1" xfId="1" applyFont="1" applyBorder="1" applyAlignment="1">
      <alignment wrapText="1"/>
    </xf>
    <xf numFmtId="10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abSelected="1" workbookViewId="0">
      <selection activeCell="D22" sqref="D22"/>
    </sheetView>
  </sheetViews>
  <sheetFormatPr defaultRowHeight="15" outlineLevelCol="1" x14ac:dyDescent="0.25"/>
  <cols>
    <col min="1" max="1" width="1.7109375" customWidth="1"/>
    <col min="2" max="2" width="24.85546875" bestFit="1" customWidth="1"/>
    <col min="3" max="3" width="15.7109375" customWidth="1"/>
    <col min="4" max="7" width="15.7109375" style="8" customWidth="1"/>
    <col min="8" max="13" width="17.7109375" style="8" hidden="1" customWidth="1" outlineLevel="1"/>
    <col min="14" max="14" width="9.140625" collapsed="1"/>
  </cols>
  <sheetData>
    <row r="1" spans="1:13" x14ac:dyDescent="0.25">
      <c r="D1"/>
      <c r="E1"/>
      <c r="F1"/>
      <c r="G1"/>
      <c r="H1"/>
      <c r="I1"/>
      <c r="J1"/>
      <c r="K1"/>
      <c r="L1"/>
      <c r="M1"/>
    </row>
    <row r="2" spans="1:13" x14ac:dyDescent="0.25">
      <c r="C2" s="1">
        <f t="shared" ref="C2:E2" si="0">+D2-1</f>
        <v>2022</v>
      </c>
      <c r="D2" s="1">
        <f t="shared" si="0"/>
        <v>2023</v>
      </c>
      <c r="E2" s="1">
        <f>+F2-1</f>
        <v>2024</v>
      </c>
      <c r="F2" s="1">
        <v>2025</v>
      </c>
      <c r="G2" s="1">
        <f>+F2+1</f>
        <v>2026</v>
      </c>
      <c r="H2" s="1">
        <f t="shared" ref="H2:M2" si="1">+G2+1</f>
        <v>2027</v>
      </c>
      <c r="I2" s="1">
        <f t="shared" si="1"/>
        <v>2028</v>
      </c>
      <c r="J2" s="1">
        <f t="shared" si="1"/>
        <v>2029</v>
      </c>
      <c r="K2" s="1">
        <f t="shared" si="1"/>
        <v>2030</v>
      </c>
      <c r="L2" s="1">
        <f t="shared" si="1"/>
        <v>2031</v>
      </c>
      <c r="M2" s="1">
        <f t="shared" si="1"/>
        <v>2032</v>
      </c>
    </row>
    <row r="3" spans="1:13" s="2" customFormat="1" x14ac:dyDescent="0.25">
      <c r="A3"/>
      <c r="B3"/>
      <c r="C3"/>
      <c r="D3" s="5"/>
      <c r="E3" s="5"/>
      <c r="F3" s="5"/>
      <c r="G3" s="5"/>
      <c r="H3" s="5"/>
      <c r="I3" s="5"/>
      <c r="J3" s="5"/>
      <c r="K3" s="5"/>
      <c r="L3" s="6"/>
      <c r="M3" s="6"/>
    </row>
    <row r="4" spans="1:13" s="3" customFormat="1" x14ac:dyDescent="0.25">
      <c r="B4" s="4" t="s">
        <v>0</v>
      </c>
      <c r="C4" s="7">
        <v>21000</v>
      </c>
      <c r="D4" s="9">
        <v>678000</v>
      </c>
      <c r="E4" s="9">
        <v>2285000</v>
      </c>
      <c r="F4" s="9">
        <v>0</v>
      </c>
      <c r="G4" s="9">
        <v>0</v>
      </c>
      <c r="H4" s="9"/>
      <c r="I4" s="9"/>
      <c r="J4" s="9"/>
      <c r="K4" s="9"/>
      <c r="L4" s="9"/>
      <c r="M4" s="9"/>
    </row>
    <row r="5" spans="1:13" x14ac:dyDescent="0.25">
      <c r="C5" s="8">
        <v>0</v>
      </c>
      <c r="D5" s="8">
        <v>0</v>
      </c>
      <c r="E5" s="8">
        <v>0</v>
      </c>
      <c r="F5" s="8">
        <v>0</v>
      </c>
      <c r="G5" s="8">
        <v>0</v>
      </c>
    </row>
    <row r="6" spans="1:13" x14ac:dyDescent="0.25">
      <c r="B6" t="s">
        <v>1</v>
      </c>
      <c r="C6" s="8">
        <f>+D6</f>
        <v>34134453.200000003</v>
      </c>
      <c r="D6" s="8">
        <f>+D7+D8</f>
        <v>34134453.200000003</v>
      </c>
      <c r="E6" s="8">
        <f>+E7+E8</f>
        <v>155091928.93200001</v>
      </c>
      <c r="F6" s="8">
        <v>0</v>
      </c>
      <c r="G6" s="8">
        <v>0</v>
      </c>
    </row>
    <row r="7" spans="1:13" x14ac:dyDescent="0.25">
      <c r="B7" t="s">
        <v>5</v>
      </c>
      <c r="C7" s="8">
        <f>(+C14*C15)/1000</f>
        <v>28940229.300000001</v>
      </c>
      <c r="D7" s="8">
        <f>(+D14*D15)/1000</f>
        <v>34078153.200000003</v>
      </c>
      <c r="E7" s="8">
        <f>(+E14*E15)/1000</f>
        <v>155281828.93200001</v>
      </c>
      <c r="F7" s="8">
        <v>0</v>
      </c>
      <c r="G7" s="8">
        <v>0</v>
      </c>
    </row>
    <row r="8" spans="1:13" x14ac:dyDescent="0.25">
      <c r="B8" t="s">
        <v>2</v>
      </c>
      <c r="C8" s="8">
        <v>0</v>
      </c>
      <c r="D8" s="8">
        <f>+D10-D9</f>
        <v>56300</v>
      </c>
      <c r="E8" s="8">
        <f>+E10-E9</f>
        <v>-189900</v>
      </c>
      <c r="F8" s="8">
        <v>0</v>
      </c>
      <c r="G8" s="8">
        <v>0</v>
      </c>
    </row>
    <row r="9" spans="1:13" x14ac:dyDescent="0.25">
      <c r="B9" t="s">
        <v>9</v>
      </c>
      <c r="C9" s="8"/>
      <c r="D9" s="8">
        <v>526000</v>
      </c>
      <c r="E9" s="8">
        <v>837900</v>
      </c>
    </row>
    <row r="10" spans="1:13" x14ac:dyDescent="0.25">
      <c r="B10" t="s">
        <v>10</v>
      </c>
      <c r="C10" s="8"/>
      <c r="D10" s="8">
        <v>582300</v>
      </c>
      <c r="E10" s="8">
        <v>648000</v>
      </c>
    </row>
    <row r="11" spans="1:13" x14ac:dyDescent="0.25">
      <c r="B11" t="s">
        <v>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</row>
    <row r="12" spans="1:13" x14ac:dyDescent="0.25">
      <c r="B12" t="s">
        <v>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</row>
    <row r="13" spans="1:13" x14ac:dyDescent="0.25">
      <c r="C13" s="8">
        <v>0</v>
      </c>
      <c r="D13" s="8">
        <v>0</v>
      </c>
      <c r="E13" s="8">
        <v>0</v>
      </c>
      <c r="F13" s="8">
        <v>0</v>
      </c>
      <c r="G13" s="8">
        <v>0</v>
      </c>
    </row>
    <row r="14" spans="1:13" x14ac:dyDescent="0.25">
      <c r="B14" t="s">
        <v>6</v>
      </c>
      <c r="C14" s="8">
        <v>192934862</v>
      </c>
      <c r="D14" s="8">
        <v>194732304</v>
      </c>
      <c r="E14" s="8">
        <v>200622518</v>
      </c>
      <c r="F14" s="8">
        <v>0</v>
      </c>
      <c r="G14" s="8">
        <v>0</v>
      </c>
    </row>
    <row r="15" spans="1:13" x14ac:dyDescent="0.25">
      <c r="B15" t="s">
        <v>8</v>
      </c>
      <c r="C15" s="8">
        <v>150</v>
      </c>
      <c r="D15" s="8">
        <v>175</v>
      </c>
      <c r="E15" s="8">
        <v>774</v>
      </c>
    </row>
    <row r="20" spans="2:5" x14ac:dyDescent="0.25">
      <c r="B20" s="3" t="s">
        <v>7</v>
      </c>
      <c r="C20" s="10">
        <f>+C4/C6</f>
        <v>6.1521419068754843E-4</v>
      </c>
      <c r="D20" s="10">
        <f>+D4/D6</f>
        <v>1.9862629585055136E-2</v>
      </c>
      <c r="E20" s="10">
        <f>+E4/E6</f>
        <v>1.4733197373551639E-2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Viet Quang</dc:creator>
  <cp:lastModifiedBy>Minh Nguyen Viet Quang</cp:lastModifiedBy>
  <dcterms:created xsi:type="dcterms:W3CDTF">2015-06-05T18:17:20Z</dcterms:created>
  <dcterms:modified xsi:type="dcterms:W3CDTF">2025-06-29T23:37:32Z</dcterms:modified>
</cp:coreProperties>
</file>